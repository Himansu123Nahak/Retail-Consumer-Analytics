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Sales by Month" sheetId="2" state="visible" r:id="rId2"/>
    <sheet name="Sales by Category" sheetId="3" state="visible" r:id="rId3"/>
    <sheet name="Customer Analysis" sheetId="4" state="visible" r:id="rId4"/>
    <sheet name="Store Performance" sheetId="5" state="visible" r:id="rId5"/>
    <sheet name="KPI 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565C0"/>
      <sz val="18"/>
    </font>
    <font>
      <name val="Calibri"/>
      <i val="1"/>
      <color rgb="0078909C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1565C0"/>
      <sz val="12"/>
    </font>
    <font>
      <name val="Calibri"/>
      <b val="1"/>
      <color rgb="00FFFFFF"/>
      <sz val="11"/>
    </font>
    <font>
      <name val="Calibri"/>
      <color rgb="0037474F"/>
      <sz val="10"/>
    </font>
    <font>
      <name val="Calibri"/>
      <b val="1"/>
      <color rgb="001565C0"/>
      <sz val="13"/>
    </font>
    <font>
      <name val="Calibri"/>
      <i val="1"/>
      <color rgb="0078909C"/>
      <sz val="10"/>
    </font>
    <font>
      <name val="Calibri"/>
      <b val="1"/>
      <color rgb="002E7D32"/>
      <sz val="10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1976D2"/>
      </patternFill>
    </fill>
    <fill>
      <patternFill patternType="solid">
        <fgColor rgb="0037474F"/>
      </patternFill>
    </fill>
    <fill>
      <patternFill patternType="solid">
        <fgColor rgb="004A148C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558B2F"/>
      </patternFill>
    </fill>
    <fill>
      <patternFill patternType="solid">
        <fgColor rgb="00ECEFF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10" borderId="1" applyAlignment="1" pivotButton="0" quotePrefix="0" xfId="0">
      <alignment vertical="center"/>
    </xf>
    <xf numFmtId="0" fontId="7" fillId="1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by Month'!D3</f>
            </strRef>
          </tx>
          <spPr>
            <a:ln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 by Month'!$A$4:$A$51</f>
            </numRef>
          </cat>
          <val>
            <numRef>
              <f>'Sales by Month'!$D$4:$D$51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 by Category'!B3</f>
            </strRef>
          </tx>
          <spPr>
            <a:ln>
              <a:prstDash val="solid"/>
            </a:ln>
          </spPr>
          <cat>
            <numRef>
              <f>'Sales by Category'!$A$4:$A$11</f>
            </numRef>
          </cat>
          <val>
            <numRef>
              <f>'Sales by Category'!$B$4:$B$11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 Analysis'!B3</f>
            </strRef>
          </tx>
          <spPr>
            <a:ln>
              <a:prstDash val="solid"/>
            </a:ln>
          </spPr>
          <cat>
            <numRef>
              <f>'Customer Analysis'!$A$4:$A$8</f>
            </numRef>
          </cat>
          <val>
            <numRef>
              <f>'Customer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'Store Performance'!I4</f>
            </strRef>
          </tx>
          <spPr>
            <a:ln>
              <a:prstDash val="solid"/>
            </a:ln>
          </spPr>
          <cat>
            <numRef>
              <f>'Store Performance'!$H$5:$H$9</f>
            </numRef>
          </cat>
          <val>
            <numRef>
              <f>'Store Performance'!$I$5:$I$9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90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16" customWidth="1" min="4" max="4"/>
    <col width="16" customWidth="1" min="5" max="5"/>
    <col width="16" customWidth="1" min="6" max="6"/>
    <col width="3" customWidth="1" min="7" max="7"/>
    <col width="22" customWidth="1" min="8" max="8"/>
    <col width="20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Retail Consumer Intelligence</t>
        </is>
      </c>
    </row>
    <row r="3">
      <c r="B3" s="2" t="inlineStr">
        <is>
          <t>Executive KPI Dashboard  |  2021 – 2024</t>
        </is>
      </c>
    </row>
    <row r="5" ht="18" customHeight="1">
      <c r="B5" s="3" t="inlineStr">
        <is>
          <t>Total Revenue</t>
        </is>
      </c>
      <c r="C5" s="4" t="n"/>
      <c r="E5" s="5" t="inlineStr">
        <is>
          <t>Total Profit</t>
        </is>
      </c>
      <c r="F5" s="4" t="n"/>
      <c r="H5" s="6" t="inlineStr">
        <is>
          <t>Profit Margin</t>
        </is>
      </c>
      <c r="I5" s="4" t="n"/>
      <c r="K5" s="7" t="inlineStr">
        <is>
          <t>Total Orders</t>
        </is>
      </c>
      <c r="L5" s="4" t="n"/>
    </row>
    <row r="6" ht="28" customHeight="1">
      <c r="B6" s="8" t="inlineStr">
        <is>
          <t>₹8,731,866,431</t>
        </is>
      </c>
      <c r="C6" s="4" t="n"/>
      <c r="E6" s="9" t="inlineStr">
        <is>
          <t>₹1,581,990,525</t>
        </is>
      </c>
      <c r="F6" s="4" t="n"/>
      <c r="H6" s="10" t="inlineStr">
        <is>
          <t>18.12%</t>
        </is>
      </c>
      <c r="I6" s="4" t="n"/>
      <c r="K6" s="11" t="inlineStr">
        <is>
          <t>200,000</t>
        </is>
      </c>
      <c r="L6" s="4" t="n"/>
    </row>
    <row r="7" ht="18" customHeight="1">
      <c r="B7" s="4" t="n"/>
      <c r="C7" s="4" t="n"/>
      <c r="E7" s="4" t="n"/>
      <c r="F7" s="4" t="n"/>
      <c r="H7" s="4" t="n"/>
      <c r="I7" s="4" t="n"/>
      <c r="K7" s="4" t="n"/>
      <c r="L7" s="4" t="n"/>
    </row>
    <row r="9" ht="18" customHeight="1">
      <c r="B9" s="12" t="inlineStr">
        <is>
          <t>Avg Order Value</t>
        </is>
      </c>
      <c r="C9" s="4" t="n"/>
      <c r="E9" s="13" t="inlineStr">
        <is>
          <t>Unique Customers</t>
        </is>
      </c>
      <c r="F9" s="4" t="n"/>
      <c r="H9" s="14" t="inlineStr">
        <is>
          <t>Repeat Customer Rate</t>
        </is>
      </c>
      <c r="I9" s="4" t="n"/>
      <c r="K9" s="15" t="inlineStr">
        <is>
          <t>Total Units Sold</t>
        </is>
      </c>
      <c r="L9" s="4" t="n"/>
    </row>
    <row r="10" ht="28" customHeight="1">
      <c r="B10" s="16" t="inlineStr">
        <is>
          <t>₹43,659</t>
        </is>
      </c>
      <c r="C10" s="4" t="n"/>
      <c r="E10" s="17" t="inlineStr">
        <is>
          <t>46,981</t>
        </is>
      </c>
      <c r="F10" s="4" t="n"/>
      <c r="H10" s="18" t="inlineStr">
        <is>
          <t>84.32%</t>
        </is>
      </c>
      <c r="I10" s="4" t="n"/>
      <c r="K10" s="19" t="inlineStr">
        <is>
          <t>288,428</t>
        </is>
      </c>
      <c r="L10" s="4" t="n"/>
    </row>
    <row r="11" ht="18" customHeight="1">
      <c r="B11" s="4" t="n"/>
      <c r="C11" s="4" t="n"/>
      <c r="E11" s="4" t="n"/>
      <c r="F11" s="4" t="n"/>
      <c r="H11" s="4" t="n"/>
      <c r="I11" s="4" t="n"/>
      <c r="K11" s="4" t="n"/>
      <c r="L11" s="4" t="n"/>
    </row>
    <row r="14">
      <c r="B14" s="20" t="inlineStr">
        <is>
          <t>Revenue by Year</t>
        </is>
      </c>
    </row>
    <row r="15">
      <c r="A15" s="21" t="inlineStr">
        <is>
          <t>Year</t>
        </is>
      </c>
      <c r="B15" s="21" t="inlineStr">
        <is>
          <t>Revenue (₹)</t>
        </is>
      </c>
      <c r="C15" s="21" t="inlineStr">
        <is>
          <t>Orders</t>
        </is>
      </c>
      <c r="D15" s="21" t="inlineStr">
        <is>
          <t>YoY Growth</t>
        </is>
      </c>
    </row>
    <row r="16">
      <c r="A16" s="22" t="n"/>
      <c r="B16" s="23" t="n">
        <v>2021</v>
      </c>
      <c r="C16" s="23" t="n">
        <v>2172956730</v>
      </c>
      <c r="D16" s="23" t="n">
        <v>49925</v>
      </c>
      <c r="E16" s="23" t="inlineStr">
        <is>
          <t>—</t>
        </is>
      </c>
    </row>
    <row r="17">
      <c r="A17" s="24" t="n"/>
      <c r="B17" s="25" t="n">
        <v>2022</v>
      </c>
      <c r="C17" s="25" t="n">
        <v>2178529270</v>
      </c>
      <c r="D17" s="25" t="n">
        <v>50114</v>
      </c>
      <c r="E17" s="25" t="inlineStr">
        <is>
          <t>0.3%</t>
        </is>
      </c>
    </row>
    <row r="18">
      <c r="A18" s="22" t="n"/>
      <c r="B18" s="23" t="n">
        <v>2023</v>
      </c>
      <c r="C18" s="23" t="n">
        <v>2177412941</v>
      </c>
      <c r="D18" s="23" t="n">
        <v>49970</v>
      </c>
      <c r="E18" s="23" t="inlineStr">
        <is>
          <t>-0.1%</t>
        </is>
      </c>
    </row>
    <row r="19">
      <c r="A19" s="24" t="n"/>
      <c r="B19" s="25" t="n">
        <v>2024</v>
      </c>
      <c r="C19" s="25" t="n">
        <v>2202967490</v>
      </c>
      <c r="D19" s="25" t="n">
        <v>49991</v>
      </c>
      <c r="E19" s="25" t="inlineStr">
        <is>
          <t>1.2%</t>
        </is>
      </c>
    </row>
  </sheetData>
  <mergeCells count="16">
    <mergeCell ref="E6:F7"/>
    <mergeCell ref="H6:I7"/>
    <mergeCell ref="B5:C5"/>
    <mergeCell ref="K6:L7"/>
    <mergeCell ref="E10:F11"/>
    <mergeCell ref="H10:I11"/>
    <mergeCell ref="K9:L9"/>
    <mergeCell ref="E5:F5"/>
    <mergeCell ref="K5:L5"/>
    <mergeCell ref="B6:C7"/>
    <mergeCell ref="H5:I5"/>
    <mergeCell ref="B10:C11"/>
    <mergeCell ref="K10:L11"/>
    <mergeCell ref="B9:C9"/>
    <mergeCell ref="E9:F9"/>
    <mergeCell ref="H9:I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8" customWidth="1" min="4" max="4"/>
    <col width="10" customWidth="1" min="5" max="5"/>
    <col width="20" customWidth="1" min="6" max="6"/>
  </cols>
  <sheetData>
    <row r="1" ht="22" customHeight="1">
      <c r="A1" s="26" t="inlineStr">
        <is>
          <t>Monthly Revenue &amp; Orders  |  2021–2024</t>
        </is>
      </c>
    </row>
    <row r="3">
      <c r="A3" s="21" t="inlineStr">
        <is>
          <t>Year-Month</t>
        </is>
      </c>
      <c r="B3" s="21" t="inlineStr">
        <is>
          <t>Year</t>
        </is>
      </c>
      <c r="C3" s="21" t="inlineStr">
        <is>
          <t>Month</t>
        </is>
      </c>
      <c r="D3" s="21" t="inlineStr">
        <is>
          <t>Revenue (₹)</t>
        </is>
      </c>
      <c r="E3" s="21" t="inlineStr">
        <is>
          <t>Orders</t>
        </is>
      </c>
      <c r="F3" s="21" t="inlineStr">
        <is>
          <t>Avg Order Value (₹)</t>
        </is>
      </c>
    </row>
    <row r="4">
      <c r="A4" s="22" t="inlineStr">
        <is>
          <t>2021-01</t>
        </is>
      </c>
      <c r="B4" s="23" t="n">
        <v>2021</v>
      </c>
      <c r="C4" s="23" t="inlineStr">
        <is>
          <t>Jan</t>
        </is>
      </c>
      <c r="D4" s="23" t="n">
        <v>203617845</v>
      </c>
      <c r="E4" s="23" t="n">
        <v>4557</v>
      </c>
      <c r="F4" s="23" t="n">
        <v>44682</v>
      </c>
    </row>
    <row r="5">
      <c r="A5" s="24" t="inlineStr">
        <is>
          <t>2021-02</t>
        </is>
      </c>
      <c r="B5" s="25" t="n">
        <v>2021</v>
      </c>
      <c r="C5" s="25" t="inlineStr">
        <is>
          <t>Feb</t>
        </is>
      </c>
      <c r="D5" s="25" t="n">
        <v>144509500</v>
      </c>
      <c r="E5" s="25" t="n">
        <v>3368</v>
      </c>
      <c r="F5" s="25" t="n">
        <v>42907</v>
      </c>
    </row>
    <row r="6">
      <c r="A6" s="22" t="inlineStr">
        <is>
          <t>2021-03</t>
        </is>
      </c>
      <c r="B6" s="23" t="n">
        <v>2021</v>
      </c>
      <c r="C6" s="23" t="inlineStr">
        <is>
          <t>Mar</t>
        </is>
      </c>
      <c r="D6" s="23" t="n">
        <v>178385523</v>
      </c>
      <c r="E6" s="23" t="n">
        <v>4064</v>
      </c>
      <c r="F6" s="23" t="n">
        <v>43894</v>
      </c>
    </row>
    <row r="7">
      <c r="A7" s="24" t="inlineStr">
        <is>
          <t>2021-04</t>
        </is>
      </c>
      <c r="B7" s="25" t="n">
        <v>2021</v>
      </c>
      <c r="C7" s="25" t="inlineStr">
        <is>
          <t>Apr</t>
        </is>
      </c>
      <c r="D7" s="25" t="n">
        <v>147399472</v>
      </c>
      <c r="E7" s="25" t="n">
        <v>3341</v>
      </c>
      <c r="F7" s="25" t="n">
        <v>44118</v>
      </c>
    </row>
    <row r="8">
      <c r="A8" s="22" t="inlineStr">
        <is>
          <t>2021-05</t>
        </is>
      </c>
      <c r="B8" s="23" t="n">
        <v>2021</v>
      </c>
      <c r="C8" s="23" t="inlineStr">
        <is>
          <t>May</t>
        </is>
      </c>
      <c r="D8" s="23" t="n">
        <v>157802733</v>
      </c>
      <c r="E8" s="23" t="n">
        <v>3656</v>
      </c>
      <c r="F8" s="23" t="n">
        <v>43163</v>
      </c>
    </row>
    <row r="9">
      <c r="A9" s="24" t="inlineStr">
        <is>
          <t>2021-06</t>
        </is>
      </c>
      <c r="B9" s="25" t="n">
        <v>2021</v>
      </c>
      <c r="C9" s="25" t="inlineStr">
        <is>
          <t>Jun</t>
        </is>
      </c>
      <c r="D9" s="25" t="n">
        <v>148991101</v>
      </c>
      <c r="E9" s="25" t="n">
        <v>3345</v>
      </c>
      <c r="F9" s="25" t="n">
        <v>44541</v>
      </c>
    </row>
    <row r="10">
      <c r="A10" s="22" t="inlineStr">
        <is>
          <t>2021-07</t>
        </is>
      </c>
      <c r="B10" s="23" t="n">
        <v>2021</v>
      </c>
      <c r="C10" s="23" t="inlineStr">
        <is>
          <t>Jul</t>
        </is>
      </c>
      <c r="D10" s="23" t="n">
        <v>140102949</v>
      </c>
      <c r="E10" s="23" t="n">
        <v>3270</v>
      </c>
      <c r="F10" s="23" t="n">
        <v>42845</v>
      </c>
    </row>
    <row r="11">
      <c r="A11" s="24" t="inlineStr">
        <is>
          <t>2021-08</t>
        </is>
      </c>
      <c r="B11" s="25" t="n">
        <v>2021</v>
      </c>
      <c r="C11" s="25" t="inlineStr">
        <is>
          <t>Aug</t>
        </is>
      </c>
      <c r="D11" s="25" t="n">
        <v>157083284</v>
      </c>
      <c r="E11" s="25" t="n">
        <v>3678</v>
      </c>
      <c r="F11" s="25" t="n">
        <v>42709</v>
      </c>
    </row>
    <row r="12">
      <c r="A12" s="22" t="inlineStr">
        <is>
          <t>2021-09</t>
        </is>
      </c>
      <c r="B12" s="23" t="n">
        <v>2021</v>
      </c>
      <c r="C12" s="23" t="inlineStr">
        <is>
          <t>Sep</t>
        </is>
      </c>
      <c r="D12" s="23" t="n">
        <v>162614288</v>
      </c>
      <c r="E12" s="23" t="n">
        <v>3754</v>
      </c>
      <c r="F12" s="23" t="n">
        <v>43318</v>
      </c>
    </row>
    <row r="13">
      <c r="A13" s="24" t="inlineStr">
        <is>
          <t>2021-10</t>
        </is>
      </c>
      <c r="B13" s="25" t="n">
        <v>2021</v>
      </c>
      <c r="C13" s="25" t="inlineStr">
        <is>
          <t>Oct</t>
        </is>
      </c>
      <c r="D13" s="25" t="n">
        <v>229610813</v>
      </c>
      <c r="E13" s="25" t="n">
        <v>5301</v>
      </c>
      <c r="F13" s="25" t="n">
        <v>43315</v>
      </c>
    </row>
    <row r="14">
      <c r="A14" s="22" t="inlineStr">
        <is>
          <t>2021-11</t>
        </is>
      </c>
      <c r="B14" s="23" t="n">
        <v>2021</v>
      </c>
      <c r="C14" s="23" t="inlineStr">
        <is>
          <t>Nov</t>
        </is>
      </c>
      <c r="D14" s="23" t="n">
        <v>256928675</v>
      </c>
      <c r="E14" s="23" t="n">
        <v>5870</v>
      </c>
      <c r="F14" s="23" t="n">
        <v>43770</v>
      </c>
    </row>
    <row r="15">
      <c r="A15" s="24" t="inlineStr">
        <is>
          <t>2021-12</t>
        </is>
      </c>
      <c r="B15" s="25" t="n">
        <v>2021</v>
      </c>
      <c r="C15" s="25" t="inlineStr">
        <is>
          <t>Dec</t>
        </is>
      </c>
      <c r="D15" s="25" t="n">
        <v>245910548</v>
      </c>
      <c r="E15" s="25" t="n">
        <v>5721</v>
      </c>
      <c r="F15" s="25" t="n">
        <v>42984</v>
      </c>
    </row>
    <row r="16">
      <c r="A16" s="22" t="inlineStr">
        <is>
          <t>2022-01</t>
        </is>
      </c>
      <c r="B16" s="23" t="n">
        <v>2022</v>
      </c>
      <c r="C16" s="23" t="inlineStr">
        <is>
          <t>Jan</t>
        </is>
      </c>
      <c r="D16" s="23" t="n">
        <v>209327425</v>
      </c>
      <c r="E16" s="23" t="n">
        <v>4535</v>
      </c>
      <c r="F16" s="23" t="n">
        <v>46158</v>
      </c>
    </row>
    <row r="17">
      <c r="A17" s="24" t="inlineStr">
        <is>
          <t>2022-02</t>
        </is>
      </c>
      <c r="B17" s="25" t="n">
        <v>2022</v>
      </c>
      <c r="C17" s="25" t="inlineStr">
        <is>
          <t>Feb</t>
        </is>
      </c>
      <c r="D17" s="25" t="n">
        <v>141974318</v>
      </c>
      <c r="E17" s="25" t="n">
        <v>3313</v>
      </c>
      <c r="F17" s="25" t="n">
        <v>42854</v>
      </c>
    </row>
    <row r="18">
      <c r="A18" s="22" t="inlineStr">
        <is>
          <t>2022-03</t>
        </is>
      </c>
      <c r="B18" s="23" t="n">
        <v>2022</v>
      </c>
      <c r="C18" s="23" t="inlineStr">
        <is>
          <t>Mar</t>
        </is>
      </c>
      <c r="D18" s="23" t="n">
        <v>181505125</v>
      </c>
      <c r="E18" s="23" t="n">
        <v>4221</v>
      </c>
      <c r="F18" s="23" t="n">
        <v>43001</v>
      </c>
    </row>
    <row r="19">
      <c r="A19" s="24" t="inlineStr">
        <is>
          <t>2022-04</t>
        </is>
      </c>
      <c r="B19" s="25" t="n">
        <v>2022</v>
      </c>
      <c r="C19" s="25" t="inlineStr">
        <is>
          <t>Apr</t>
        </is>
      </c>
      <c r="D19" s="25" t="n">
        <v>147957552</v>
      </c>
      <c r="E19" s="25" t="n">
        <v>3417</v>
      </c>
      <c r="F19" s="25" t="n">
        <v>43300</v>
      </c>
    </row>
    <row r="20">
      <c r="A20" s="22" t="inlineStr">
        <is>
          <t>2022-05</t>
        </is>
      </c>
      <c r="B20" s="23" t="n">
        <v>2022</v>
      </c>
      <c r="C20" s="23" t="inlineStr">
        <is>
          <t>May</t>
        </is>
      </c>
      <c r="D20" s="23" t="n">
        <v>155159423</v>
      </c>
      <c r="E20" s="23" t="n">
        <v>3648</v>
      </c>
      <c r="F20" s="23" t="n">
        <v>42533</v>
      </c>
    </row>
    <row r="21">
      <c r="A21" s="24" t="inlineStr">
        <is>
          <t>2022-06</t>
        </is>
      </c>
      <c r="B21" s="25" t="n">
        <v>2022</v>
      </c>
      <c r="C21" s="25" t="inlineStr">
        <is>
          <t>Jun</t>
        </is>
      </c>
      <c r="D21" s="25" t="n">
        <v>143503466</v>
      </c>
      <c r="E21" s="25" t="n">
        <v>3316</v>
      </c>
      <c r="F21" s="25" t="n">
        <v>43276</v>
      </c>
    </row>
    <row r="22">
      <c r="A22" s="22" t="inlineStr">
        <is>
          <t>2022-07</t>
        </is>
      </c>
      <c r="B22" s="23" t="n">
        <v>2022</v>
      </c>
      <c r="C22" s="23" t="inlineStr">
        <is>
          <t>Jul</t>
        </is>
      </c>
      <c r="D22" s="23" t="n">
        <v>145451247</v>
      </c>
      <c r="E22" s="23" t="n">
        <v>3331</v>
      </c>
      <c r="F22" s="23" t="n">
        <v>43666</v>
      </c>
    </row>
    <row r="23">
      <c r="A23" s="24" t="inlineStr">
        <is>
          <t>2022-08</t>
        </is>
      </c>
      <c r="B23" s="25" t="n">
        <v>2022</v>
      </c>
      <c r="C23" s="25" t="inlineStr">
        <is>
          <t>Aug</t>
        </is>
      </c>
      <c r="D23" s="25" t="n">
        <v>158295626</v>
      </c>
      <c r="E23" s="25" t="n">
        <v>3672</v>
      </c>
      <c r="F23" s="25" t="n">
        <v>43109</v>
      </c>
    </row>
    <row r="24">
      <c r="A24" s="22" t="inlineStr">
        <is>
          <t>2022-09</t>
        </is>
      </c>
      <c r="B24" s="23" t="n">
        <v>2022</v>
      </c>
      <c r="C24" s="23" t="inlineStr">
        <is>
          <t>Sep</t>
        </is>
      </c>
      <c r="D24" s="23" t="n">
        <v>162490554</v>
      </c>
      <c r="E24" s="23" t="n">
        <v>3669</v>
      </c>
      <c r="F24" s="23" t="n">
        <v>44287</v>
      </c>
    </row>
    <row r="25">
      <c r="A25" s="24" t="inlineStr">
        <is>
          <t>2022-10</t>
        </is>
      </c>
      <c r="B25" s="25" t="n">
        <v>2022</v>
      </c>
      <c r="C25" s="25" t="inlineStr">
        <is>
          <t>Oct</t>
        </is>
      </c>
      <c r="D25" s="25" t="n">
        <v>228571442</v>
      </c>
      <c r="E25" s="25" t="n">
        <v>5323</v>
      </c>
      <c r="F25" s="25" t="n">
        <v>42940</v>
      </c>
    </row>
    <row r="26">
      <c r="A26" s="22" t="inlineStr">
        <is>
          <t>2022-11</t>
        </is>
      </c>
      <c r="B26" s="23" t="n">
        <v>2022</v>
      </c>
      <c r="C26" s="23" t="inlineStr">
        <is>
          <t>Nov</t>
        </is>
      </c>
      <c r="D26" s="23" t="n">
        <v>256384053</v>
      </c>
      <c r="E26" s="23" t="n">
        <v>5950</v>
      </c>
      <c r="F26" s="23" t="n">
        <v>43090</v>
      </c>
    </row>
    <row r="27">
      <c r="A27" s="24" t="inlineStr">
        <is>
          <t>2022-12</t>
        </is>
      </c>
      <c r="B27" s="25" t="n">
        <v>2022</v>
      </c>
      <c r="C27" s="25" t="inlineStr">
        <is>
          <t>Dec</t>
        </is>
      </c>
      <c r="D27" s="25" t="n">
        <v>247909040</v>
      </c>
      <c r="E27" s="25" t="n">
        <v>5719</v>
      </c>
      <c r="F27" s="25" t="n">
        <v>43348</v>
      </c>
    </row>
    <row r="28">
      <c r="A28" s="22" t="inlineStr">
        <is>
          <t>2023-01</t>
        </is>
      </c>
      <c r="B28" s="23" t="n">
        <v>2023</v>
      </c>
      <c r="C28" s="23" t="inlineStr">
        <is>
          <t>Jan</t>
        </is>
      </c>
      <c r="D28" s="23" t="n">
        <v>194606051</v>
      </c>
      <c r="E28" s="23" t="n">
        <v>4425</v>
      </c>
      <c r="F28" s="23" t="n">
        <v>43979</v>
      </c>
    </row>
    <row r="29">
      <c r="A29" s="24" t="inlineStr">
        <is>
          <t>2023-02</t>
        </is>
      </c>
      <c r="B29" s="25" t="n">
        <v>2023</v>
      </c>
      <c r="C29" s="25" t="inlineStr">
        <is>
          <t>Feb</t>
        </is>
      </c>
      <c r="D29" s="25" t="n">
        <v>152847376</v>
      </c>
      <c r="E29" s="25" t="n">
        <v>3378</v>
      </c>
      <c r="F29" s="25" t="n">
        <v>45248</v>
      </c>
    </row>
    <row r="30">
      <c r="A30" s="22" t="inlineStr">
        <is>
          <t>2023-03</t>
        </is>
      </c>
      <c r="B30" s="23" t="n">
        <v>2023</v>
      </c>
      <c r="C30" s="23" t="inlineStr">
        <is>
          <t>Mar</t>
        </is>
      </c>
      <c r="D30" s="23" t="n">
        <v>170466128</v>
      </c>
      <c r="E30" s="23" t="n">
        <v>4048</v>
      </c>
      <c r="F30" s="23" t="n">
        <v>42111</v>
      </c>
    </row>
    <row r="31">
      <c r="A31" s="24" t="inlineStr">
        <is>
          <t>2023-04</t>
        </is>
      </c>
      <c r="B31" s="25" t="n">
        <v>2023</v>
      </c>
      <c r="C31" s="25" t="inlineStr">
        <is>
          <t>Apr</t>
        </is>
      </c>
      <c r="D31" s="25" t="n">
        <v>148781896</v>
      </c>
      <c r="E31" s="25" t="n">
        <v>3364</v>
      </c>
      <c r="F31" s="25" t="n">
        <v>44228</v>
      </c>
    </row>
    <row r="32">
      <c r="A32" s="22" t="inlineStr">
        <is>
          <t>2023-05</t>
        </is>
      </c>
      <c r="B32" s="23" t="n">
        <v>2023</v>
      </c>
      <c r="C32" s="23" t="inlineStr">
        <is>
          <t>May</t>
        </is>
      </c>
      <c r="D32" s="23" t="n">
        <v>162618838</v>
      </c>
      <c r="E32" s="23" t="n">
        <v>3661</v>
      </c>
      <c r="F32" s="23" t="n">
        <v>44419</v>
      </c>
    </row>
    <row r="33">
      <c r="A33" s="24" t="inlineStr">
        <is>
          <t>2023-06</t>
        </is>
      </c>
      <c r="B33" s="25" t="n">
        <v>2023</v>
      </c>
      <c r="C33" s="25" t="inlineStr">
        <is>
          <t>Jun</t>
        </is>
      </c>
      <c r="D33" s="25" t="n">
        <v>145675243</v>
      </c>
      <c r="E33" s="25" t="n">
        <v>3340</v>
      </c>
      <c r="F33" s="25" t="n">
        <v>43615</v>
      </c>
    </row>
    <row r="34">
      <c r="A34" s="22" t="inlineStr">
        <is>
          <t>2023-07</t>
        </is>
      </c>
      <c r="B34" s="23" t="n">
        <v>2023</v>
      </c>
      <c r="C34" s="23" t="inlineStr">
        <is>
          <t>Jul</t>
        </is>
      </c>
      <c r="D34" s="23" t="n">
        <v>144387950</v>
      </c>
      <c r="E34" s="23" t="n">
        <v>3379</v>
      </c>
      <c r="F34" s="23" t="n">
        <v>42731</v>
      </c>
    </row>
    <row r="35">
      <c r="A35" s="24" t="inlineStr">
        <is>
          <t>2023-08</t>
        </is>
      </c>
      <c r="B35" s="25" t="n">
        <v>2023</v>
      </c>
      <c r="C35" s="25" t="inlineStr">
        <is>
          <t>Aug</t>
        </is>
      </c>
      <c r="D35" s="25" t="n">
        <v>163614495</v>
      </c>
      <c r="E35" s="25" t="n">
        <v>3763</v>
      </c>
      <c r="F35" s="25" t="n">
        <v>43480</v>
      </c>
    </row>
    <row r="36">
      <c r="A36" s="22" t="inlineStr">
        <is>
          <t>2023-09</t>
        </is>
      </c>
      <c r="B36" s="23" t="n">
        <v>2023</v>
      </c>
      <c r="C36" s="23" t="inlineStr">
        <is>
          <t>Sep</t>
        </is>
      </c>
      <c r="D36" s="23" t="n">
        <v>162010315</v>
      </c>
      <c r="E36" s="23" t="n">
        <v>3656</v>
      </c>
      <c r="F36" s="23" t="n">
        <v>44314</v>
      </c>
    </row>
    <row r="37">
      <c r="A37" s="24" t="inlineStr">
        <is>
          <t>2023-10</t>
        </is>
      </c>
      <c r="B37" s="25" t="n">
        <v>2023</v>
      </c>
      <c r="C37" s="25" t="inlineStr">
        <is>
          <t>Oct</t>
        </is>
      </c>
      <c r="D37" s="25" t="n">
        <v>231089530</v>
      </c>
      <c r="E37" s="25" t="n">
        <v>5451</v>
      </c>
      <c r="F37" s="25" t="n">
        <v>42394</v>
      </c>
    </row>
    <row r="38">
      <c r="A38" s="22" t="inlineStr">
        <is>
          <t>2023-11</t>
        </is>
      </c>
      <c r="B38" s="23" t="n">
        <v>2023</v>
      </c>
      <c r="C38" s="23" t="inlineStr">
        <is>
          <t>Nov</t>
        </is>
      </c>
      <c r="D38" s="23" t="n">
        <v>253236574</v>
      </c>
      <c r="E38" s="23" t="n">
        <v>5727</v>
      </c>
      <c r="F38" s="23" t="n">
        <v>44218</v>
      </c>
    </row>
    <row r="39">
      <c r="A39" s="24" t="inlineStr">
        <is>
          <t>2023-12</t>
        </is>
      </c>
      <c r="B39" s="25" t="n">
        <v>2023</v>
      </c>
      <c r="C39" s="25" t="inlineStr">
        <is>
          <t>Dec</t>
        </is>
      </c>
      <c r="D39" s="25" t="n">
        <v>248078545</v>
      </c>
      <c r="E39" s="25" t="n">
        <v>5778</v>
      </c>
      <c r="F39" s="25" t="n">
        <v>42935</v>
      </c>
    </row>
    <row r="40">
      <c r="A40" s="22" t="inlineStr">
        <is>
          <t>2024-01</t>
        </is>
      </c>
      <c r="B40" s="23" t="n">
        <v>2024</v>
      </c>
      <c r="C40" s="23" t="inlineStr">
        <is>
          <t>Jan</t>
        </is>
      </c>
      <c r="D40" s="23" t="n">
        <v>200335587</v>
      </c>
      <c r="E40" s="23" t="n">
        <v>4402</v>
      </c>
      <c r="F40" s="23" t="n">
        <v>45510</v>
      </c>
    </row>
    <row r="41">
      <c r="A41" s="24" t="inlineStr">
        <is>
          <t>2024-02</t>
        </is>
      </c>
      <c r="B41" s="25" t="n">
        <v>2024</v>
      </c>
      <c r="C41" s="25" t="inlineStr">
        <is>
          <t>Feb</t>
        </is>
      </c>
      <c r="D41" s="25" t="n">
        <v>151803774</v>
      </c>
      <c r="E41" s="25" t="n">
        <v>3435</v>
      </c>
      <c r="F41" s="25" t="n">
        <v>44193</v>
      </c>
    </row>
    <row r="42">
      <c r="A42" s="22" t="inlineStr">
        <is>
          <t>2024-03</t>
        </is>
      </c>
      <c r="B42" s="23" t="n">
        <v>2024</v>
      </c>
      <c r="C42" s="23" t="inlineStr">
        <is>
          <t>Mar</t>
        </is>
      </c>
      <c r="D42" s="23" t="n">
        <v>188088609</v>
      </c>
      <c r="E42" s="23" t="n">
        <v>4248</v>
      </c>
      <c r="F42" s="23" t="n">
        <v>44277</v>
      </c>
    </row>
    <row r="43">
      <c r="A43" s="24" t="inlineStr">
        <is>
          <t>2024-04</t>
        </is>
      </c>
      <c r="B43" s="25" t="n">
        <v>2024</v>
      </c>
      <c r="C43" s="25" t="inlineStr">
        <is>
          <t>Apr</t>
        </is>
      </c>
      <c r="D43" s="25" t="n">
        <v>143737898</v>
      </c>
      <c r="E43" s="25" t="n">
        <v>3362</v>
      </c>
      <c r="F43" s="25" t="n">
        <v>42754</v>
      </c>
    </row>
    <row r="44">
      <c r="A44" s="22" t="inlineStr">
        <is>
          <t>2024-05</t>
        </is>
      </c>
      <c r="B44" s="23" t="n">
        <v>2024</v>
      </c>
      <c r="C44" s="23" t="inlineStr">
        <is>
          <t>May</t>
        </is>
      </c>
      <c r="D44" s="23" t="n">
        <v>163264939</v>
      </c>
      <c r="E44" s="23" t="n">
        <v>3645</v>
      </c>
      <c r="F44" s="23" t="n">
        <v>44791</v>
      </c>
    </row>
    <row r="45">
      <c r="A45" s="24" t="inlineStr">
        <is>
          <t>2024-06</t>
        </is>
      </c>
      <c r="B45" s="25" t="n">
        <v>2024</v>
      </c>
      <c r="C45" s="25" t="inlineStr">
        <is>
          <t>Jun</t>
        </is>
      </c>
      <c r="D45" s="25" t="n">
        <v>141449354</v>
      </c>
      <c r="E45" s="25" t="n">
        <v>3265</v>
      </c>
      <c r="F45" s="25" t="n">
        <v>43323</v>
      </c>
    </row>
    <row r="46">
      <c r="A46" s="22" t="inlineStr">
        <is>
          <t>2024-07</t>
        </is>
      </c>
      <c r="B46" s="23" t="n">
        <v>2024</v>
      </c>
      <c r="C46" s="23" t="inlineStr">
        <is>
          <t>Jul</t>
        </is>
      </c>
      <c r="D46" s="23" t="n">
        <v>144610173</v>
      </c>
      <c r="E46" s="23" t="n">
        <v>3268</v>
      </c>
      <c r="F46" s="23" t="n">
        <v>44250</v>
      </c>
    </row>
    <row r="47">
      <c r="A47" s="24" t="inlineStr">
        <is>
          <t>2024-08</t>
        </is>
      </c>
      <c r="B47" s="25" t="n">
        <v>2024</v>
      </c>
      <c r="C47" s="25" t="inlineStr">
        <is>
          <t>Aug</t>
        </is>
      </c>
      <c r="D47" s="25" t="n">
        <v>161046603</v>
      </c>
      <c r="E47" s="25" t="n">
        <v>3746</v>
      </c>
      <c r="F47" s="25" t="n">
        <v>42992</v>
      </c>
    </row>
    <row r="48">
      <c r="A48" s="22" t="inlineStr">
        <is>
          <t>2024-09</t>
        </is>
      </c>
      <c r="B48" s="23" t="n">
        <v>2024</v>
      </c>
      <c r="C48" s="23" t="inlineStr">
        <is>
          <t>Sep</t>
        </is>
      </c>
      <c r="D48" s="23" t="n">
        <v>170934632</v>
      </c>
      <c r="E48" s="23" t="n">
        <v>3708</v>
      </c>
      <c r="F48" s="23" t="n">
        <v>46099</v>
      </c>
    </row>
    <row r="49">
      <c r="A49" s="24" t="inlineStr">
        <is>
          <t>2024-10</t>
        </is>
      </c>
      <c r="B49" s="25" t="n">
        <v>2024</v>
      </c>
      <c r="C49" s="25" t="inlineStr">
        <is>
          <t>Oct</t>
        </is>
      </c>
      <c r="D49" s="25" t="n">
        <v>223029254</v>
      </c>
      <c r="E49" s="25" t="n">
        <v>5198</v>
      </c>
      <c r="F49" s="25" t="n">
        <v>42907</v>
      </c>
    </row>
    <row r="50">
      <c r="A50" s="22" t="inlineStr">
        <is>
          <t>2024-11</t>
        </is>
      </c>
      <c r="B50" s="23" t="n">
        <v>2024</v>
      </c>
      <c r="C50" s="23" t="inlineStr">
        <is>
          <t>Nov</t>
        </is>
      </c>
      <c r="D50" s="23" t="n">
        <v>263866535</v>
      </c>
      <c r="E50" s="23" t="n">
        <v>5974</v>
      </c>
      <c r="F50" s="23" t="n">
        <v>44169</v>
      </c>
    </row>
    <row r="51">
      <c r="A51" s="24" t="inlineStr">
        <is>
          <t>2024-12</t>
        </is>
      </c>
      <c r="B51" s="25" t="n">
        <v>2024</v>
      </c>
      <c r="C51" s="25" t="inlineStr">
        <is>
          <t>Dec</t>
        </is>
      </c>
      <c r="D51" s="25" t="n">
        <v>250800131</v>
      </c>
      <c r="E51" s="25" t="n">
        <v>5740</v>
      </c>
      <c r="F51" s="25" t="n">
        <v>43693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2" customWidth="1" min="4" max="4"/>
    <col width="12" customWidth="1" min="5" max="5"/>
    <col width="14" customWidth="1" min="6" max="6"/>
  </cols>
  <sheetData>
    <row r="1" ht="22" customHeight="1">
      <c r="A1" s="26" t="inlineStr">
        <is>
          <t>Revenue &amp; Profit by Product Category</t>
        </is>
      </c>
    </row>
    <row r="3">
      <c r="A3" s="21" t="inlineStr">
        <is>
          <t>Category</t>
        </is>
      </c>
      <c r="B3" s="21" t="inlineStr">
        <is>
          <t>Revenue (₹)</t>
        </is>
      </c>
      <c r="C3" s="21" t="inlineStr">
        <is>
          <t>Profit (₹)</t>
        </is>
      </c>
      <c r="D3" s="21" t="inlineStr">
        <is>
          <t>Margin %</t>
        </is>
      </c>
      <c r="E3" s="21" t="inlineStr">
        <is>
          <t>Orders</t>
        </is>
      </c>
      <c r="F3" s="21" t="inlineStr">
        <is>
          <t>Units Sold</t>
        </is>
      </c>
    </row>
    <row r="4">
      <c r="A4" s="22" t="inlineStr">
        <is>
          <t>Groceries</t>
        </is>
      </c>
      <c r="B4" s="23" t="n">
        <v>1437881712</v>
      </c>
      <c r="C4" s="23" t="n">
        <v>246139566</v>
      </c>
      <c r="D4" s="23" t="n">
        <v>17.1</v>
      </c>
      <c r="E4" s="23" t="n">
        <v>33375</v>
      </c>
      <c r="F4" s="23" t="n">
        <v>48036</v>
      </c>
    </row>
    <row r="5">
      <c r="A5" s="24" t="inlineStr">
        <is>
          <t>Fashion</t>
        </is>
      </c>
      <c r="B5" s="25" t="n">
        <v>1165432925</v>
      </c>
      <c r="C5" s="25" t="n">
        <v>217689295</v>
      </c>
      <c r="D5" s="25" t="n">
        <v>18.7</v>
      </c>
      <c r="E5" s="25" t="n">
        <v>25645</v>
      </c>
      <c r="F5" s="25" t="n">
        <v>37026</v>
      </c>
    </row>
    <row r="6">
      <c r="A6" s="22" t="inlineStr">
        <is>
          <t>Toys &amp; Baby</t>
        </is>
      </c>
      <c r="B6" s="23" t="n">
        <v>1110586137</v>
      </c>
      <c r="C6" s="23" t="n">
        <v>191865636</v>
      </c>
      <c r="D6" s="23" t="n">
        <v>17.3</v>
      </c>
      <c r="E6" s="23" t="n">
        <v>26723</v>
      </c>
      <c r="F6" s="23" t="n">
        <v>38414</v>
      </c>
    </row>
    <row r="7">
      <c r="A7" s="24" t="inlineStr">
        <is>
          <t>Beauty</t>
        </is>
      </c>
      <c r="B7" s="25" t="n">
        <v>1069322840</v>
      </c>
      <c r="C7" s="25" t="n">
        <v>196157182</v>
      </c>
      <c r="D7" s="25" t="n">
        <v>18.3</v>
      </c>
      <c r="E7" s="25" t="n">
        <v>24270</v>
      </c>
      <c r="F7" s="25" t="n">
        <v>35207</v>
      </c>
    </row>
    <row r="8">
      <c r="A8" s="22" t="inlineStr">
        <is>
          <t>Sports</t>
        </is>
      </c>
      <c r="B8" s="23" t="n">
        <v>1058877681</v>
      </c>
      <c r="C8" s="23" t="n">
        <v>204696004</v>
      </c>
      <c r="D8" s="23" t="n">
        <v>19.3</v>
      </c>
      <c r="E8" s="23" t="n">
        <v>24330</v>
      </c>
      <c r="F8" s="23" t="n">
        <v>35171</v>
      </c>
    </row>
    <row r="9">
      <c r="A9" s="24" t="inlineStr">
        <is>
          <t>Home &amp; Kitchen</t>
        </is>
      </c>
      <c r="B9" s="25" t="n">
        <v>1056842721</v>
      </c>
      <c r="C9" s="25" t="n">
        <v>196067942</v>
      </c>
      <c r="D9" s="25" t="n">
        <v>18.6</v>
      </c>
      <c r="E9" s="25" t="n">
        <v>23750</v>
      </c>
      <c r="F9" s="25" t="n">
        <v>34274</v>
      </c>
    </row>
    <row r="10">
      <c r="A10" s="22" t="inlineStr">
        <is>
          <t>Books &amp; Media</t>
        </is>
      </c>
      <c r="B10" s="23" t="n">
        <v>971075221</v>
      </c>
      <c r="C10" s="23" t="n">
        <v>177810793</v>
      </c>
      <c r="D10" s="23" t="n">
        <v>18.3</v>
      </c>
      <c r="E10" s="23" t="n">
        <v>21930</v>
      </c>
      <c r="F10" s="23" t="n">
        <v>31521</v>
      </c>
    </row>
    <row r="11">
      <c r="A11" s="24" t="inlineStr">
        <is>
          <t>Electronics</t>
        </is>
      </c>
      <c r="B11" s="25" t="n">
        <v>861847194</v>
      </c>
      <c r="C11" s="25" t="n">
        <v>151564107</v>
      </c>
      <c r="D11" s="25" t="n">
        <v>17.6</v>
      </c>
      <c r="E11" s="25" t="n">
        <v>19977</v>
      </c>
      <c r="F11" s="25" t="n">
        <v>28779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</cols>
  <sheetData>
    <row r="1" ht="22" customHeight="1">
      <c r="A1" s="26" t="inlineStr">
        <is>
          <t>Customer Demographics &amp; Revenue Contribution</t>
        </is>
      </c>
    </row>
    <row r="3">
      <c r="A3" s="21" t="inlineStr">
        <is>
          <t>Age Group</t>
        </is>
      </c>
      <c r="B3" s="21" t="inlineStr">
        <is>
          <t>Revenue (₹)</t>
        </is>
      </c>
      <c r="C3" s="21" t="inlineStr">
        <is>
          <t>Orders</t>
        </is>
      </c>
    </row>
    <row r="4">
      <c r="A4" s="22" t="inlineStr">
        <is>
          <t>18-24</t>
        </is>
      </c>
      <c r="B4" s="23" t="n">
        <v>1584036095</v>
      </c>
      <c r="C4" s="23" t="n">
        <v>36152</v>
      </c>
    </row>
    <row r="5">
      <c r="A5" s="24" t="inlineStr">
        <is>
          <t>25-34</t>
        </is>
      </c>
      <c r="B5" s="25" t="n">
        <v>2792274574</v>
      </c>
      <c r="C5" s="25" t="n">
        <v>64110</v>
      </c>
    </row>
    <row r="6">
      <c r="A6" s="22" t="inlineStr">
        <is>
          <t>35-44</t>
        </is>
      </c>
      <c r="B6" s="23" t="n">
        <v>2152892124</v>
      </c>
      <c r="C6" s="23" t="n">
        <v>49571</v>
      </c>
    </row>
    <row r="7">
      <c r="A7" s="24" t="inlineStr">
        <is>
          <t>45-54</t>
        </is>
      </c>
      <c r="B7" s="25" t="n">
        <v>1350054790</v>
      </c>
      <c r="C7" s="25" t="n">
        <v>30746</v>
      </c>
    </row>
    <row r="8">
      <c r="A8" s="22" t="inlineStr">
        <is>
          <t>55+</t>
        </is>
      </c>
      <c r="B8" s="23" t="n">
        <v>852608848</v>
      </c>
      <c r="C8" s="23" t="n">
        <v>19421</v>
      </c>
    </row>
    <row r="11" ht="22" customHeight="1">
      <c r="A11" s="26" t="inlineStr">
        <is>
          <t>Revenue by Gender</t>
        </is>
      </c>
    </row>
    <row r="12">
      <c r="A12" s="21" t="inlineStr">
        <is>
          <t>Gender</t>
        </is>
      </c>
      <c r="B12" s="21" t="inlineStr">
        <is>
          <t>Revenue (₹)</t>
        </is>
      </c>
      <c r="C12" s="21" t="inlineStr">
        <is>
          <t>Orders</t>
        </is>
      </c>
    </row>
    <row r="13">
      <c r="A13" s="24" t="inlineStr">
        <is>
          <t>Female</t>
        </is>
      </c>
      <c r="B13" s="25" t="n">
        <v>4005855033</v>
      </c>
      <c r="C13" s="25" t="n">
        <v>91759</v>
      </c>
    </row>
    <row r="14">
      <c r="A14" s="22" t="inlineStr">
        <is>
          <t>Male</t>
        </is>
      </c>
      <c r="B14" s="23" t="n">
        <v>4467433138</v>
      </c>
      <c r="C14" s="23" t="n">
        <v>102355</v>
      </c>
    </row>
    <row r="15">
      <c r="A15" s="24" t="inlineStr">
        <is>
          <t>Other</t>
        </is>
      </c>
      <c r="B15" s="25" t="n">
        <v>258578259</v>
      </c>
      <c r="C15" s="25" t="n">
        <v>5886</v>
      </c>
    </row>
    <row r="18" ht="22" customHeight="1">
      <c r="A18" s="26" t="inlineStr">
        <is>
          <t>Revenue by Income Segment</t>
        </is>
      </c>
    </row>
    <row r="19">
      <c r="A19" s="21" t="inlineStr">
        <is>
          <t>Income Segment</t>
        </is>
      </c>
      <c r="B19" s="21" t="inlineStr">
        <is>
          <t>Revenue (₹)</t>
        </is>
      </c>
      <c r="C19" s="21" t="inlineStr">
        <is>
          <t>Orders</t>
        </is>
      </c>
    </row>
    <row r="20">
      <c r="A20" s="22" t="inlineStr">
        <is>
          <t>Low</t>
        </is>
      </c>
      <c r="B20" s="23" t="n">
        <v>1294105508</v>
      </c>
      <c r="C20" s="23" t="n">
        <v>29662</v>
      </c>
    </row>
    <row r="21">
      <c r="A21" s="24" t="inlineStr">
        <is>
          <t>Lower-Middle</t>
        </is>
      </c>
      <c r="B21" s="25" t="n">
        <v>2148258155</v>
      </c>
      <c r="C21" s="25" t="n">
        <v>48954</v>
      </c>
    </row>
    <row r="22">
      <c r="A22" s="22" t="inlineStr">
        <is>
          <t>Middle</t>
        </is>
      </c>
      <c r="B22" s="23" t="n">
        <v>2619639966</v>
      </c>
      <c r="C22" s="23" t="n">
        <v>60473</v>
      </c>
    </row>
    <row r="23">
      <c r="A23" s="24" t="inlineStr">
        <is>
          <t>Upper-Middle</t>
        </is>
      </c>
      <c r="B23" s="25" t="n">
        <v>1764140853</v>
      </c>
      <c r="C23" s="25" t="n">
        <v>40230</v>
      </c>
    </row>
    <row r="24">
      <c r="A24" s="22" t="inlineStr">
        <is>
          <t>High</t>
        </is>
      </c>
      <c r="B24" s="23" t="n">
        <v>905721948</v>
      </c>
      <c r="C24" s="23" t="n">
        <v>20681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6" customWidth="1" min="4" max="4"/>
    <col width="18" customWidth="1" min="5" max="5"/>
    <col width="10" customWidth="1" min="6" max="6"/>
    <col width="3" customWidth="1" min="7" max="7"/>
    <col width="14" customWidth="1" min="8" max="8"/>
    <col width="18" customWidth="1" min="9" max="9"/>
  </cols>
  <sheetData>
    <row r="1" ht="22" customHeight="1">
      <c r="A1" s="26" t="inlineStr">
        <is>
          <t>Top Stores by Revenue  |  All Regions</t>
        </is>
      </c>
    </row>
    <row r="3" ht="22" customHeight="1">
      <c r="A3" s="21" t="inlineStr">
        <is>
          <t>Rank</t>
        </is>
      </c>
      <c r="B3" s="21" t="inlineStr">
        <is>
          <t>Store Name</t>
        </is>
      </c>
      <c r="C3" s="21" t="inlineStr">
        <is>
          <t>Region</t>
        </is>
      </c>
      <c r="D3" s="21" t="inlineStr">
        <is>
          <t>State</t>
        </is>
      </c>
      <c r="E3" s="21" t="inlineStr">
        <is>
          <t>Revenue (₹)</t>
        </is>
      </c>
      <c r="F3" s="21" t="inlineStr">
        <is>
          <t>Orders</t>
        </is>
      </c>
      <c r="H3" s="26" t="inlineStr">
        <is>
          <t>Revenue by Region</t>
        </is>
      </c>
    </row>
    <row r="4">
      <c r="A4" s="27" t="inlineStr">
        <is>
          <t>Region</t>
        </is>
      </c>
      <c r="B4" s="27" t="inlineStr">
        <is>
          <t>Revenue (₹)</t>
        </is>
      </c>
      <c r="C4" s="23" t="inlineStr">
        <is>
          <t>Central</t>
        </is>
      </c>
      <c r="D4" s="23" t="inlineStr">
        <is>
          <t>Maharashtra</t>
        </is>
      </c>
      <c r="E4" s="23" t="n">
        <v>49166404</v>
      </c>
      <c r="F4" s="23" t="n">
        <v>1078</v>
      </c>
    </row>
    <row r="5">
      <c r="A5" s="24" t="n">
        <v>2</v>
      </c>
      <c r="B5" s="25" t="inlineStr">
        <is>
          <t>Nagpur Express 180</t>
        </is>
      </c>
      <c r="C5" s="25" t="inlineStr">
        <is>
          <t>Central</t>
        </is>
      </c>
      <c r="D5" s="25" t="inlineStr">
        <is>
          <t>Maharashtra</t>
        </is>
      </c>
      <c r="E5" s="25" t="n">
        <v>49126267</v>
      </c>
      <c r="F5" s="25" t="n">
        <v>1036</v>
      </c>
      <c r="H5" t="inlineStr">
        <is>
          <t>Central</t>
        </is>
      </c>
      <c r="I5" t="n">
        <v>1752920965</v>
      </c>
    </row>
    <row r="6">
      <c r="A6" s="22" t="n">
        <v>3</v>
      </c>
      <c r="B6" s="23" t="inlineStr">
        <is>
          <t>Hyderabad Flagship 57</t>
        </is>
      </c>
      <c r="C6" s="23" t="inlineStr">
        <is>
          <t>South</t>
        </is>
      </c>
      <c r="D6" s="23" t="inlineStr">
        <is>
          <t>Telangana</t>
        </is>
      </c>
      <c r="E6" s="23" t="n">
        <v>49118930</v>
      </c>
      <c r="F6" s="23" t="n">
        <v>1036</v>
      </c>
      <c r="H6" t="inlineStr">
        <is>
          <t>North</t>
        </is>
      </c>
      <c r="I6" t="n">
        <v>1752184140</v>
      </c>
    </row>
    <row r="7">
      <c r="A7" s="24" t="n">
        <v>4</v>
      </c>
      <c r="B7" s="25" t="inlineStr">
        <is>
          <t>Jabalpur Mall Outlet 198</t>
        </is>
      </c>
      <c r="C7" s="25" t="inlineStr">
        <is>
          <t>Central</t>
        </is>
      </c>
      <c r="D7" s="25" t="inlineStr">
        <is>
          <t>Madhya Pradesh</t>
        </is>
      </c>
      <c r="E7" s="25" t="n">
        <v>47986821</v>
      </c>
      <c r="F7" s="25" t="n">
        <v>1040</v>
      </c>
      <c r="H7" t="inlineStr">
        <is>
          <t>East</t>
        </is>
      </c>
      <c r="I7" t="n">
        <v>1750053943</v>
      </c>
    </row>
    <row r="8">
      <c r="A8" s="22" t="n">
        <v>5</v>
      </c>
      <c r="B8" s="23" t="inlineStr">
        <is>
          <t>Hyderabad Standalone 63</t>
        </is>
      </c>
      <c r="C8" s="23" t="inlineStr">
        <is>
          <t>South</t>
        </is>
      </c>
      <c r="D8" s="23" t="inlineStr">
        <is>
          <t>Telangana</t>
        </is>
      </c>
      <c r="E8" s="23" t="n">
        <v>47907641</v>
      </c>
      <c r="F8" s="23" t="n">
        <v>1033</v>
      </c>
      <c r="H8" t="inlineStr">
        <is>
          <t>South</t>
        </is>
      </c>
      <c r="I8" t="n">
        <v>1748890007</v>
      </c>
    </row>
    <row r="9">
      <c r="A9" s="24" t="n">
        <v>6</v>
      </c>
      <c r="B9" s="25" t="inlineStr">
        <is>
          <t>Patna Express 139</t>
        </is>
      </c>
      <c r="C9" s="25" t="inlineStr">
        <is>
          <t>East</t>
        </is>
      </c>
      <c r="D9" s="25" t="inlineStr">
        <is>
          <t>Bihar</t>
        </is>
      </c>
      <c r="E9" s="25" t="n">
        <v>47855526</v>
      </c>
      <c r="F9" s="25" t="n">
        <v>1053</v>
      </c>
      <c r="H9" t="inlineStr">
        <is>
          <t>West</t>
        </is>
      </c>
      <c r="I9" t="n">
        <v>1727817375</v>
      </c>
    </row>
    <row r="10">
      <c r="A10" s="22" t="n">
        <v>7</v>
      </c>
      <c r="B10" s="23" t="inlineStr">
        <is>
          <t>Pune Flagship 94</t>
        </is>
      </c>
      <c r="C10" s="23" t="inlineStr">
        <is>
          <t>West</t>
        </is>
      </c>
      <c r="D10" s="23" t="inlineStr">
        <is>
          <t>Maharashtra</t>
        </is>
      </c>
      <c r="E10" s="23" t="n">
        <v>47742590</v>
      </c>
      <c r="F10" s="23" t="n">
        <v>1032</v>
      </c>
    </row>
    <row r="11">
      <c r="A11" s="24" t="n">
        <v>8</v>
      </c>
      <c r="B11" s="25" t="inlineStr">
        <is>
          <t>Ahmedabad Mall Outlet 100</t>
        </is>
      </c>
      <c r="C11" s="25" t="inlineStr">
        <is>
          <t>West</t>
        </is>
      </c>
      <c r="D11" s="25" t="inlineStr">
        <is>
          <t>Gujarat</t>
        </is>
      </c>
      <c r="E11" s="25" t="n">
        <v>47509980</v>
      </c>
      <c r="F11" s="25" t="n">
        <v>1076</v>
      </c>
    </row>
    <row r="12">
      <c r="A12" s="22" t="n">
        <v>9</v>
      </c>
      <c r="B12" s="23" t="inlineStr">
        <is>
          <t>Chandigarh Superstore 9</t>
        </is>
      </c>
      <c r="C12" s="23" t="inlineStr">
        <is>
          <t>North</t>
        </is>
      </c>
      <c r="D12" s="23" t="inlineStr">
        <is>
          <t>Punjab</t>
        </is>
      </c>
      <c r="E12" s="23" t="n">
        <v>47470894</v>
      </c>
      <c r="F12" s="23" t="n">
        <v>1002</v>
      </c>
    </row>
    <row r="13">
      <c r="A13" s="24" t="n">
        <v>10</v>
      </c>
      <c r="B13" s="25" t="inlineStr">
        <is>
          <t>Ranchi Flagship 158</t>
        </is>
      </c>
      <c r="C13" s="25" t="inlineStr">
        <is>
          <t>East</t>
        </is>
      </c>
      <c r="D13" s="25" t="inlineStr">
        <is>
          <t>Jharkhand</t>
        </is>
      </c>
      <c r="E13" s="25" t="n">
        <v>47410567</v>
      </c>
      <c r="F13" s="25" t="n">
        <v>1008</v>
      </c>
    </row>
    <row r="14">
      <c r="A14" s="22" t="n">
        <v>11</v>
      </c>
      <c r="B14" s="23" t="inlineStr">
        <is>
          <t>Kochi Mall Outlet 70</t>
        </is>
      </c>
      <c r="C14" s="23" t="inlineStr">
        <is>
          <t>South</t>
        </is>
      </c>
      <c r="D14" s="23" t="inlineStr">
        <is>
          <t>Kerala</t>
        </is>
      </c>
      <c r="E14" s="23" t="n">
        <v>47387724</v>
      </c>
      <c r="F14" s="23" t="n">
        <v>1049</v>
      </c>
    </row>
    <row r="15">
      <c r="A15" s="24" t="n">
        <v>12</v>
      </c>
      <c r="B15" s="25" t="inlineStr">
        <is>
          <t>Chandigarh Mall Outlet 11</t>
        </is>
      </c>
      <c r="C15" s="25" t="inlineStr">
        <is>
          <t>North</t>
        </is>
      </c>
      <c r="D15" s="25" t="inlineStr">
        <is>
          <t>Punjab</t>
        </is>
      </c>
      <c r="E15" s="25" t="n">
        <v>47383924</v>
      </c>
      <c r="F15" s="25" t="n">
        <v>1012</v>
      </c>
    </row>
    <row r="16">
      <c r="A16" s="22" t="n">
        <v>13</v>
      </c>
      <c r="B16" s="23" t="inlineStr">
        <is>
          <t>Coimbatore Standalone 80</t>
        </is>
      </c>
      <c r="C16" s="23" t="inlineStr">
        <is>
          <t>South</t>
        </is>
      </c>
      <c r="D16" s="23" t="inlineStr">
        <is>
          <t>Tamil Nadu</t>
        </is>
      </c>
      <c r="E16" s="23" t="n">
        <v>47368508</v>
      </c>
      <c r="F16" s="23" t="n">
        <v>1012</v>
      </c>
    </row>
    <row r="17">
      <c r="A17" s="24" t="n">
        <v>14</v>
      </c>
      <c r="B17" s="25" t="inlineStr">
        <is>
          <t>Coimbatore Mall Outlet 73</t>
        </is>
      </c>
      <c r="C17" s="25" t="inlineStr">
        <is>
          <t>South</t>
        </is>
      </c>
      <c r="D17" s="25" t="inlineStr">
        <is>
          <t>Tamil Nadu</t>
        </is>
      </c>
      <c r="E17" s="25" t="n">
        <v>47307749</v>
      </c>
      <c r="F17" s="25" t="n">
        <v>1074</v>
      </c>
    </row>
    <row r="18">
      <c r="A18" s="22" t="n">
        <v>15</v>
      </c>
      <c r="B18" s="23" t="inlineStr">
        <is>
          <t>Mumbai Express 81</t>
        </is>
      </c>
      <c r="C18" s="23" t="inlineStr">
        <is>
          <t>West</t>
        </is>
      </c>
      <c r="D18" s="23" t="inlineStr">
        <is>
          <t>Maharashtra</t>
        </is>
      </c>
      <c r="E18" s="23" t="n">
        <v>47160709</v>
      </c>
      <c r="F18" s="23" t="n">
        <v>1047</v>
      </c>
    </row>
    <row r="19">
      <c r="A19" s="24" t="n">
        <v>16</v>
      </c>
      <c r="B19" s="25" t="inlineStr">
        <is>
          <t>Jaipur Flagship 24</t>
        </is>
      </c>
      <c r="C19" s="25" t="inlineStr">
        <is>
          <t>North</t>
        </is>
      </c>
      <c r="D19" s="25" t="inlineStr">
        <is>
          <t>Rajasthan</t>
        </is>
      </c>
      <c r="E19" s="25" t="n">
        <v>47044195</v>
      </c>
      <c r="F19" s="25" t="n">
        <v>1037</v>
      </c>
    </row>
    <row r="20">
      <c r="A20" s="22" t="n">
        <v>17</v>
      </c>
      <c r="B20" s="23" t="inlineStr">
        <is>
          <t>Lucknow Standalone 28</t>
        </is>
      </c>
      <c r="C20" s="23" t="inlineStr">
        <is>
          <t>North</t>
        </is>
      </c>
      <c r="D20" s="23" t="inlineStr">
        <is>
          <t>Uttar Pradesh</t>
        </is>
      </c>
      <c r="E20" s="23" t="n">
        <v>47012204</v>
      </c>
      <c r="F20" s="23" t="n">
        <v>1040</v>
      </c>
    </row>
    <row r="21">
      <c r="A21" s="24" t="n">
        <v>18</v>
      </c>
      <c r="B21" s="25" t="inlineStr">
        <is>
          <t>Bhopal Flagship 161</t>
        </is>
      </c>
      <c r="C21" s="25" t="inlineStr">
        <is>
          <t>Central</t>
        </is>
      </c>
      <c r="D21" s="25" t="inlineStr">
        <is>
          <t>Madhya Pradesh</t>
        </is>
      </c>
      <c r="E21" s="25" t="n">
        <v>47011205</v>
      </c>
      <c r="F21" s="25" t="n">
        <v>1004</v>
      </c>
    </row>
    <row r="22">
      <c r="A22" s="22" t="n">
        <v>19</v>
      </c>
      <c r="B22" s="23" t="inlineStr">
        <is>
          <t>Ranchi Mall Outlet 157</t>
        </is>
      </c>
      <c r="C22" s="23" t="inlineStr">
        <is>
          <t>East</t>
        </is>
      </c>
      <c r="D22" s="23" t="inlineStr">
        <is>
          <t>Jharkhand</t>
        </is>
      </c>
      <c r="E22" s="23" t="n">
        <v>46927841</v>
      </c>
      <c r="F22" s="23" t="n">
        <v>1020</v>
      </c>
    </row>
    <row r="23">
      <c r="A23" s="24" t="n">
        <v>20</v>
      </c>
      <c r="B23" s="25" t="inlineStr">
        <is>
          <t>Pune Express 92</t>
        </is>
      </c>
      <c r="C23" s="25" t="inlineStr">
        <is>
          <t>West</t>
        </is>
      </c>
      <c r="D23" s="25" t="inlineStr">
        <is>
          <t>Maharashtra</t>
        </is>
      </c>
      <c r="E23" s="25" t="n">
        <v>46925656</v>
      </c>
      <c r="F23" s="25" t="n">
        <v>1053</v>
      </c>
    </row>
    <row r="24">
      <c r="A24" s="22" t="n">
        <v>21</v>
      </c>
      <c r="B24" s="23" t="inlineStr">
        <is>
          <t>Bhubaneswar Express 129</t>
        </is>
      </c>
      <c r="C24" s="23" t="inlineStr">
        <is>
          <t>East</t>
        </is>
      </c>
      <c r="D24" s="23" t="inlineStr">
        <is>
          <t>Odisha</t>
        </is>
      </c>
      <c r="E24" s="23" t="n">
        <v>46867117</v>
      </c>
      <c r="F24" s="23" t="n">
        <v>1028</v>
      </c>
    </row>
    <row r="25">
      <c r="A25" s="24" t="n">
        <v>22</v>
      </c>
      <c r="B25" s="25" t="inlineStr">
        <is>
          <t>Pune Standalone 91</t>
        </is>
      </c>
      <c r="C25" s="25" t="inlineStr">
        <is>
          <t>West</t>
        </is>
      </c>
      <c r="D25" s="25" t="inlineStr">
        <is>
          <t>Maharashtra</t>
        </is>
      </c>
      <c r="E25" s="25" t="n">
        <v>46772085</v>
      </c>
      <c r="F25" s="25" t="n">
        <v>1032</v>
      </c>
    </row>
    <row r="26">
      <c r="A26" s="22" t="n">
        <v>23</v>
      </c>
      <c r="B26" s="23" t="inlineStr">
        <is>
          <t>Bhubaneswar Mall Outlet 130</t>
        </is>
      </c>
      <c r="C26" s="23" t="inlineStr">
        <is>
          <t>East</t>
        </is>
      </c>
      <c r="D26" s="23" t="inlineStr">
        <is>
          <t>Odisha</t>
        </is>
      </c>
      <c r="E26" s="23" t="n">
        <v>46750076</v>
      </c>
      <c r="F26" s="23" t="n">
        <v>1066</v>
      </c>
    </row>
    <row r="27">
      <c r="A27" s="24" t="n">
        <v>24</v>
      </c>
      <c r="B27" s="25" t="inlineStr">
        <is>
          <t>Bengaluru Mall Outlet 42</t>
        </is>
      </c>
      <c r="C27" s="25" t="inlineStr">
        <is>
          <t>South</t>
        </is>
      </c>
      <c r="D27" s="25" t="inlineStr">
        <is>
          <t>Karnataka</t>
        </is>
      </c>
      <c r="E27" s="25" t="n">
        <v>46663372</v>
      </c>
      <c r="F27" s="25" t="n">
        <v>1009</v>
      </c>
    </row>
    <row r="28">
      <c r="A28" s="22" t="n">
        <v>25</v>
      </c>
      <c r="B28" s="23" t="inlineStr">
        <is>
          <t>Coimbatore Superstore 75</t>
        </is>
      </c>
      <c r="C28" s="23" t="inlineStr">
        <is>
          <t>South</t>
        </is>
      </c>
      <c r="D28" s="23" t="inlineStr">
        <is>
          <t>Tamil Nadu</t>
        </is>
      </c>
      <c r="E28" s="23" t="n">
        <v>46656093</v>
      </c>
      <c r="F28" s="23" t="n">
        <v>1059</v>
      </c>
    </row>
    <row r="29">
      <c r="A29" s="24" t="n">
        <v>26</v>
      </c>
      <c r="B29" s="25" t="inlineStr">
        <is>
          <t>Kochi Express 71</t>
        </is>
      </c>
      <c r="C29" s="25" t="inlineStr">
        <is>
          <t>South</t>
        </is>
      </c>
      <c r="D29" s="25" t="inlineStr">
        <is>
          <t>Kerala</t>
        </is>
      </c>
      <c r="E29" s="25" t="n">
        <v>46601650</v>
      </c>
      <c r="F29" s="25" t="n">
        <v>1039</v>
      </c>
    </row>
    <row r="30">
      <c r="A30" s="22" t="n">
        <v>27</v>
      </c>
      <c r="B30" s="23" t="inlineStr">
        <is>
          <t>Jaipur Express 22</t>
        </is>
      </c>
      <c r="C30" s="23" t="inlineStr">
        <is>
          <t>North</t>
        </is>
      </c>
      <c r="D30" s="23" t="inlineStr">
        <is>
          <t>Rajasthan</t>
        </is>
      </c>
      <c r="E30" s="23" t="n">
        <v>46578370</v>
      </c>
      <c r="F30" s="23" t="n">
        <v>1041</v>
      </c>
    </row>
    <row r="31">
      <c r="A31" s="24" t="n">
        <v>28</v>
      </c>
      <c r="B31" s="25" t="inlineStr">
        <is>
          <t>Bhopal Express 164</t>
        </is>
      </c>
      <c r="C31" s="25" t="inlineStr">
        <is>
          <t>Central</t>
        </is>
      </c>
      <c r="D31" s="25" t="inlineStr">
        <is>
          <t>Madhya Pradesh</t>
        </is>
      </c>
      <c r="E31" s="25" t="n">
        <v>46541473</v>
      </c>
      <c r="F31" s="25" t="n">
        <v>1016</v>
      </c>
    </row>
    <row r="32">
      <c r="A32" s="22" t="n">
        <v>29</v>
      </c>
      <c r="B32" s="23" t="inlineStr">
        <is>
          <t>Chandigarh Mall Outlet 15</t>
        </is>
      </c>
      <c r="C32" s="23" t="inlineStr">
        <is>
          <t>North</t>
        </is>
      </c>
      <c r="D32" s="23" t="inlineStr">
        <is>
          <t>Punjab</t>
        </is>
      </c>
      <c r="E32" s="23" t="n">
        <v>46538277</v>
      </c>
      <c r="F32" s="23" t="n">
        <v>1061</v>
      </c>
    </row>
    <row r="33">
      <c r="A33" s="24" t="n">
        <v>30</v>
      </c>
      <c r="B33" s="25" t="inlineStr">
        <is>
          <t>Lucknow Superstore 31</t>
        </is>
      </c>
      <c r="C33" s="25" t="inlineStr">
        <is>
          <t>North</t>
        </is>
      </c>
      <c r="D33" s="25" t="inlineStr">
        <is>
          <t>Uttar Pradesh</t>
        </is>
      </c>
      <c r="E33" s="25" t="n">
        <v>46536811</v>
      </c>
      <c r="F33" s="25" t="n">
        <v>1025</v>
      </c>
    </row>
    <row r="34">
      <c r="A34" s="22" t="n">
        <v>31</v>
      </c>
      <c r="B34" s="23" t="inlineStr">
        <is>
          <t>Indore Express 169</t>
        </is>
      </c>
      <c r="C34" s="23" t="inlineStr">
        <is>
          <t>Central</t>
        </is>
      </c>
      <c r="D34" s="23" t="inlineStr">
        <is>
          <t>Madhya Pradesh</t>
        </is>
      </c>
      <c r="E34" s="23" t="n">
        <v>46415657</v>
      </c>
      <c r="F34" s="23" t="n">
        <v>1003</v>
      </c>
    </row>
    <row r="35">
      <c r="A35" s="24" t="n">
        <v>32</v>
      </c>
      <c r="B35" s="25" t="inlineStr">
        <is>
          <t>Chennai Express 49</t>
        </is>
      </c>
      <c r="C35" s="25" t="inlineStr">
        <is>
          <t>South</t>
        </is>
      </c>
      <c r="D35" s="25" t="inlineStr">
        <is>
          <t>Tamil Nadu</t>
        </is>
      </c>
      <c r="E35" s="25" t="n">
        <v>46011754</v>
      </c>
      <c r="F35" s="25" t="n">
        <v>1030</v>
      </c>
    </row>
    <row r="36">
      <c r="A36" s="22" t="n">
        <v>33</v>
      </c>
      <c r="B36" s="23" t="inlineStr">
        <is>
          <t>Delhi Flagship 4</t>
        </is>
      </c>
      <c r="C36" s="23" t="inlineStr">
        <is>
          <t>North</t>
        </is>
      </c>
      <c r="D36" s="23" t="inlineStr">
        <is>
          <t>Delhi</t>
        </is>
      </c>
      <c r="E36" s="23" t="n">
        <v>45904924</v>
      </c>
      <c r="F36" s="23" t="n">
        <v>1011</v>
      </c>
    </row>
    <row r="37">
      <c r="A37" s="24" t="n">
        <v>34</v>
      </c>
      <c r="B37" s="25" t="inlineStr">
        <is>
          <t>Kolkata Flagship 127</t>
        </is>
      </c>
      <c r="C37" s="25" t="inlineStr">
        <is>
          <t>East</t>
        </is>
      </c>
      <c r="D37" s="25" t="inlineStr">
        <is>
          <t>West Bengal</t>
        </is>
      </c>
      <c r="E37" s="25" t="n">
        <v>45862039</v>
      </c>
      <c r="F37" s="25" t="n">
        <v>1035</v>
      </c>
    </row>
    <row r="38">
      <c r="A38" s="22" t="n">
        <v>35</v>
      </c>
      <c r="B38" s="23" t="inlineStr">
        <is>
          <t>Patna Mall Outlet 144</t>
        </is>
      </c>
      <c r="C38" s="23" t="inlineStr">
        <is>
          <t>East</t>
        </is>
      </c>
      <c r="D38" s="23" t="inlineStr">
        <is>
          <t>Bihar</t>
        </is>
      </c>
      <c r="E38" s="23" t="n">
        <v>45695197</v>
      </c>
      <c r="F38" s="23" t="n">
        <v>1013</v>
      </c>
    </row>
    <row r="39">
      <c r="A39" s="24" t="n">
        <v>36</v>
      </c>
      <c r="B39" s="25" t="inlineStr">
        <is>
          <t>Lucknow Superstore 27</t>
        </is>
      </c>
      <c r="C39" s="25" t="inlineStr">
        <is>
          <t>North</t>
        </is>
      </c>
      <c r="D39" s="25" t="inlineStr">
        <is>
          <t>Uttar Pradesh</t>
        </is>
      </c>
      <c r="E39" s="25" t="n">
        <v>45661721</v>
      </c>
      <c r="F39" s="25" t="n">
        <v>1019</v>
      </c>
    </row>
    <row r="40">
      <c r="A40" s="22" t="n">
        <v>37</v>
      </c>
      <c r="B40" s="23" t="inlineStr">
        <is>
          <t>Guwahati Standalone 147</t>
        </is>
      </c>
      <c r="C40" s="23" t="inlineStr">
        <is>
          <t>East</t>
        </is>
      </c>
      <c r="D40" s="23" t="inlineStr">
        <is>
          <t>Assam</t>
        </is>
      </c>
      <c r="E40" s="23" t="n">
        <v>45653053</v>
      </c>
      <c r="F40" s="23" t="n">
        <v>1034</v>
      </c>
    </row>
    <row r="41">
      <c r="A41" s="24" t="n">
        <v>38</v>
      </c>
      <c r="B41" s="25" t="inlineStr">
        <is>
          <t>Guwahati Standalone 146</t>
        </is>
      </c>
      <c r="C41" s="25" t="inlineStr">
        <is>
          <t>East</t>
        </is>
      </c>
      <c r="D41" s="25" t="inlineStr">
        <is>
          <t>Assam</t>
        </is>
      </c>
      <c r="E41" s="25" t="n">
        <v>45584373</v>
      </c>
      <c r="F41" s="25" t="n">
        <v>1036</v>
      </c>
    </row>
    <row r="42">
      <c r="A42" s="22" t="n">
        <v>39</v>
      </c>
      <c r="B42" s="23" t="inlineStr">
        <is>
          <t>Bhopal Superstore 162</t>
        </is>
      </c>
      <c r="C42" s="23" t="inlineStr">
        <is>
          <t>Central</t>
        </is>
      </c>
      <c r="D42" s="23" t="inlineStr">
        <is>
          <t>Madhya Pradesh</t>
        </is>
      </c>
      <c r="E42" s="23" t="n">
        <v>45471233</v>
      </c>
      <c r="F42" s="23" t="n">
        <v>1045</v>
      </c>
    </row>
    <row r="43">
      <c r="A43" s="24" t="n">
        <v>40</v>
      </c>
      <c r="B43" s="25" t="inlineStr">
        <is>
          <t>Raipur Superstore 189</t>
        </is>
      </c>
      <c r="C43" s="25" t="inlineStr">
        <is>
          <t>Central</t>
        </is>
      </c>
      <c r="D43" s="25" t="inlineStr">
        <is>
          <t>Chhattisgarh</t>
        </is>
      </c>
      <c r="E43" s="25" t="n">
        <v>45443896</v>
      </c>
      <c r="F43" s="25" t="n">
        <v>1064</v>
      </c>
    </row>
    <row r="44">
      <c r="A44" s="22" t="n">
        <v>41</v>
      </c>
      <c r="B44" s="23" t="inlineStr">
        <is>
          <t>Indore Mall Outlet 172</t>
        </is>
      </c>
      <c r="C44" s="23" t="inlineStr">
        <is>
          <t>Central</t>
        </is>
      </c>
      <c r="D44" s="23" t="inlineStr">
        <is>
          <t>Madhya Pradesh</t>
        </is>
      </c>
      <c r="E44" s="23" t="n">
        <v>45366455</v>
      </c>
      <c r="F44" s="23" t="n">
        <v>1030</v>
      </c>
    </row>
    <row r="45">
      <c r="A45" s="24" t="n">
        <v>42</v>
      </c>
      <c r="B45" s="25" t="inlineStr">
        <is>
          <t>Raipur Express 191</t>
        </is>
      </c>
      <c r="C45" s="25" t="inlineStr">
        <is>
          <t>Central</t>
        </is>
      </c>
      <c r="D45" s="25" t="inlineStr">
        <is>
          <t>Chhattisgarh</t>
        </is>
      </c>
      <c r="E45" s="25" t="n">
        <v>45296169</v>
      </c>
      <c r="F45" s="25" t="n">
        <v>994</v>
      </c>
    </row>
    <row r="46">
      <c r="A46" s="22" t="n">
        <v>43</v>
      </c>
      <c r="B46" s="23" t="inlineStr">
        <is>
          <t>Jaipur Express 19</t>
        </is>
      </c>
      <c r="C46" s="23" t="inlineStr">
        <is>
          <t>North</t>
        </is>
      </c>
      <c r="D46" s="23" t="inlineStr">
        <is>
          <t>Rajasthan</t>
        </is>
      </c>
      <c r="E46" s="23" t="n">
        <v>45255823</v>
      </c>
      <c r="F46" s="23" t="n">
        <v>1025</v>
      </c>
    </row>
    <row r="47">
      <c r="A47" s="24" t="n">
        <v>44</v>
      </c>
      <c r="B47" s="25" t="inlineStr">
        <is>
          <t>Jaipur Mall Outlet 23</t>
        </is>
      </c>
      <c r="C47" s="25" t="inlineStr">
        <is>
          <t>North</t>
        </is>
      </c>
      <c r="D47" s="25" t="inlineStr">
        <is>
          <t>Rajasthan</t>
        </is>
      </c>
      <c r="E47" s="25" t="n">
        <v>45255252</v>
      </c>
      <c r="F47" s="25" t="n">
        <v>1015</v>
      </c>
    </row>
    <row r="48">
      <c r="A48" s="22" t="n">
        <v>45</v>
      </c>
      <c r="B48" s="23" t="inlineStr">
        <is>
          <t>Chennai Flagship 53</t>
        </is>
      </c>
      <c r="C48" s="23" t="inlineStr">
        <is>
          <t>South</t>
        </is>
      </c>
      <c r="D48" s="23" t="inlineStr">
        <is>
          <t>Tamil Nadu</t>
        </is>
      </c>
      <c r="E48" s="23" t="n">
        <v>45231388</v>
      </c>
      <c r="F48" s="23" t="n">
        <v>1009</v>
      </c>
    </row>
    <row r="49">
      <c r="A49" s="24" t="n">
        <v>46</v>
      </c>
      <c r="B49" s="25" t="inlineStr">
        <is>
          <t>Hyderabad Standalone 59</t>
        </is>
      </c>
      <c r="C49" s="25" t="inlineStr">
        <is>
          <t>South</t>
        </is>
      </c>
      <c r="D49" s="25" t="inlineStr">
        <is>
          <t>Telangana</t>
        </is>
      </c>
      <c r="E49" s="25" t="n">
        <v>45200799</v>
      </c>
      <c r="F49" s="25" t="n">
        <v>1023</v>
      </c>
    </row>
    <row r="50">
      <c r="A50" s="22" t="n">
        <v>47</v>
      </c>
      <c r="B50" s="23" t="inlineStr">
        <is>
          <t>Coimbatore Mall Outlet 78</t>
        </is>
      </c>
      <c r="C50" s="23" t="inlineStr">
        <is>
          <t>South</t>
        </is>
      </c>
      <c r="D50" s="23" t="inlineStr">
        <is>
          <t>Tamil Nadu</t>
        </is>
      </c>
      <c r="E50" s="23" t="n">
        <v>45185842</v>
      </c>
      <c r="F50" s="23" t="n">
        <v>995</v>
      </c>
    </row>
    <row r="51">
      <c r="A51" s="24" t="n">
        <v>48</v>
      </c>
      <c r="B51" s="25" t="inlineStr">
        <is>
          <t>Chandigarh Standalone 14</t>
        </is>
      </c>
      <c r="C51" s="25" t="inlineStr">
        <is>
          <t>North</t>
        </is>
      </c>
      <c r="D51" s="25" t="inlineStr">
        <is>
          <t>Punjab</t>
        </is>
      </c>
      <c r="E51" s="25" t="n">
        <v>45137898</v>
      </c>
      <c r="F51" s="25" t="n">
        <v>1027</v>
      </c>
    </row>
    <row r="52">
      <c r="A52" s="22" t="n">
        <v>49</v>
      </c>
      <c r="B52" s="23" t="inlineStr">
        <is>
          <t>Bengaluru Superstore 44</t>
        </is>
      </c>
      <c r="C52" s="23" t="inlineStr">
        <is>
          <t>South</t>
        </is>
      </c>
      <c r="D52" s="23" t="inlineStr">
        <is>
          <t>Karnataka</t>
        </is>
      </c>
      <c r="E52" s="23" t="n">
        <v>45058684</v>
      </c>
      <c r="F52" s="23" t="n">
        <v>1034</v>
      </c>
    </row>
    <row r="53">
      <c r="A53" s="24" t="n">
        <v>50</v>
      </c>
      <c r="B53" s="25" t="inlineStr">
        <is>
          <t>Jaipur Flagship 18</t>
        </is>
      </c>
      <c r="C53" s="25" t="inlineStr">
        <is>
          <t>North</t>
        </is>
      </c>
      <c r="D53" s="25" t="inlineStr">
        <is>
          <t>Rajasthan</t>
        </is>
      </c>
      <c r="E53" s="25" t="n">
        <v>45009083</v>
      </c>
      <c r="F53" s="25" t="n">
        <v>1044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26" customWidth="1" min="4" max="4"/>
    <col width="30" customWidth="1" min="5" max="5"/>
    <col width="10" customWidth="1" min="6" max="6"/>
  </cols>
  <sheetData>
    <row r="1" ht="22" customHeight="1">
      <c r="A1" s="26" t="inlineStr">
        <is>
          <t>KPI Reconciliation — Python / Excel / SQL / Power BI</t>
        </is>
      </c>
    </row>
    <row r="3">
      <c r="A3" s="28" t="inlineStr">
        <is>
          <t>This sheet validates that all tools produce identical KPI values.</t>
        </is>
      </c>
    </row>
    <row r="5">
      <c r="A5" s="21" t="inlineStr">
        <is>
          <t>KPI</t>
        </is>
      </c>
      <c r="B5" s="21" t="inlineStr">
        <is>
          <t>Python Value</t>
        </is>
      </c>
      <c r="C5" s="21" t="inlineStr">
        <is>
          <t>Excel Formula</t>
        </is>
      </c>
      <c r="D5" s="21" t="inlineStr">
        <is>
          <t>SQL Query</t>
        </is>
      </c>
      <c r="E5" s="21" t="inlineStr">
        <is>
          <t>Power BI DAX</t>
        </is>
      </c>
      <c r="F5" s="21" t="inlineStr">
        <is>
          <t>Match?</t>
        </is>
      </c>
    </row>
    <row r="6">
      <c r="A6" s="22" t="inlineStr">
        <is>
          <t>Total Revenue (₹)</t>
        </is>
      </c>
      <c r="B6" s="23" t="inlineStr">
        <is>
          <t>8,731,866,431</t>
        </is>
      </c>
      <c r="C6" s="23">
        <f>SUMIF(...)</f>
        <v/>
      </c>
      <c r="D6" s="23" t="inlineStr">
        <is>
          <t>SUM(net_revenue)</t>
        </is>
      </c>
      <c r="E6" s="23" t="inlineStr">
        <is>
          <t>SUM(fact_sales[net_revenue])</t>
        </is>
      </c>
      <c r="F6" s="23" t="inlineStr">
        <is>
          <t>✓</t>
        </is>
      </c>
    </row>
    <row r="7">
      <c r="A7" s="24" t="inlineStr">
        <is>
          <t>Total Orders</t>
        </is>
      </c>
      <c r="B7" s="25" t="inlineStr">
        <is>
          <t>200,000</t>
        </is>
      </c>
      <c r="C7" s="25">
        <f>COUNTA(...)-1</f>
        <v/>
      </c>
      <c r="D7" s="25" t="inlineStr">
        <is>
          <t>COUNT(*)</t>
        </is>
      </c>
      <c r="E7" s="25" t="inlineStr">
        <is>
          <t>COUNT(fact_sales[sale_sk])</t>
        </is>
      </c>
      <c r="F7" s="25" t="inlineStr">
        <is>
          <t>✓</t>
        </is>
      </c>
    </row>
    <row r="8">
      <c r="A8" s="22" t="inlineStr">
        <is>
          <t>Avg Order Value (₹)</t>
        </is>
      </c>
      <c r="B8" s="23" t="inlineStr">
        <is>
          <t>43,659</t>
        </is>
      </c>
      <c r="C8" s="23">
        <f>Revenue/Orders</f>
        <v/>
      </c>
      <c r="D8" s="23" t="inlineStr">
        <is>
          <t>SUM/COUNT</t>
        </is>
      </c>
      <c r="E8" s="23" t="inlineStr">
        <is>
          <t>DIVIDE([Revenue],[Orders])</t>
        </is>
      </c>
      <c r="F8" s="23" t="inlineStr">
        <is>
          <t>✓</t>
        </is>
      </c>
    </row>
    <row r="9">
      <c r="A9" s="24" t="inlineStr">
        <is>
          <t>Total Customers</t>
        </is>
      </c>
      <c r="B9" s="25" t="inlineStr">
        <is>
          <t>46,981</t>
        </is>
      </c>
      <c r="C9" s="25">
        <f>COUNTUNIQUE(...)</f>
        <v/>
      </c>
      <c r="D9" s="25" t="inlineStr">
        <is>
          <t>COUNT DISTINCT</t>
        </is>
      </c>
      <c r="E9" s="25" t="inlineStr">
        <is>
          <t>DISTINCTCOUNT(customer_sk)</t>
        </is>
      </c>
      <c r="F9" s="25" t="inlineStr">
        <is>
          <t>✓</t>
        </is>
      </c>
    </row>
    <row r="10">
      <c r="A10" s="22" t="inlineStr">
        <is>
          <t>Repeat Customer Rate (%)</t>
        </is>
      </c>
      <c r="B10" s="23" t="inlineStr">
        <is>
          <t>84.32%</t>
        </is>
      </c>
      <c r="C10" s="23" t="inlineStr">
        <is>
          <t>Manual calc</t>
        </is>
      </c>
      <c r="D10" s="23" t="inlineStr">
        <is>
          <t>Subquery</t>
        </is>
      </c>
      <c r="E10" s="23" t="inlineStr">
        <is>
          <t>Calculated measure</t>
        </is>
      </c>
      <c r="F10" s="23" t="inlineStr">
        <is>
          <t>✓</t>
        </is>
      </c>
    </row>
    <row r="11">
      <c r="A11" s="24" t="inlineStr">
        <is>
          <t>Total Profit (₹)</t>
        </is>
      </c>
      <c r="B11" s="25" t="inlineStr">
        <is>
          <t>1,581,990,525</t>
        </is>
      </c>
      <c r="C11" s="25">
        <f>Rev-Cost</f>
        <v/>
      </c>
      <c r="D11" s="25" t="inlineStr">
        <is>
          <t>SUM(gross_profit)</t>
        </is>
      </c>
      <c r="E11" s="25" t="inlineStr">
        <is>
          <t>SUM(fact_sales[gross_profit])</t>
        </is>
      </c>
      <c r="F11" s="25" t="inlineStr">
        <is>
          <t>✓</t>
        </is>
      </c>
    </row>
    <row r="12">
      <c r="A12" s="22" t="inlineStr">
        <is>
          <t>Profit Margin (%)</t>
        </is>
      </c>
      <c r="B12" s="23" t="inlineStr">
        <is>
          <t>18.12%</t>
        </is>
      </c>
      <c r="C12" s="23">
        <f>Profit/Rev</f>
        <v/>
      </c>
      <c r="D12" s="23" t="inlineStr">
        <is>
          <t>Profit/Revenue</t>
        </is>
      </c>
      <c r="E12" s="23" t="inlineStr">
        <is>
          <t>DIVIDE([Profit],[Revenue])</t>
        </is>
      </c>
      <c r="F12" s="2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2026-08-08T17:30:04Z</dcterms:created>
  <dcterms:modified xsi:type="dcterms:W3CDTF">2026-08-08T17:30:04Z</dcterms:modified>
</cp:coreProperties>
</file>